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DF71766-59A5-487B-B2AA-06303C822BFC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Raw_Monthly_Revenue" sheetId="1" r:id="rId1"/>
    <sheet name="Raw_Category_Sales" sheetId="2" r:id="rId2"/>
    <sheet name="Raw_State_Revenue" sheetId="3" r:id="rId3"/>
    <sheet name="Dashboard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" i="4" l="1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C44" i="4"/>
  <c r="B44" i="4"/>
  <c r="D43" i="4"/>
  <c r="C43" i="4"/>
  <c r="B43" i="4"/>
  <c r="D42" i="4"/>
  <c r="C42" i="4"/>
  <c r="B42" i="4"/>
  <c r="D41" i="4"/>
  <c r="C41" i="4"/>
  <c r="B41" i="4"/>
  <c r="E37" i="4"/>
  <c r="C37" i="4"/>
  <c r="E36" i="4"/>
  <c r="D36" i="4"/>
  <c r="C36" i="4"/>
  <c r="B36" i="4"/>
  <c r="E35" i="4"/>
  <c r="C35" i="4"/>
  <c r="B35" i="4"/>
  <c r="E34" i="4"/>
  <c r="D34" i="4"/>
  <c r="C34" i="4"/>
  <c r="D35" i="4" s="1"/>
  <c r="B34" i="4"/>
  <c r="E33" i="4"/>
  <c r="D33" i="4"/>
  <c r="C33" i="4"/>
  <c r="B33" i="4"/>
  <c r="E32" i="4"/>
  <c r="D32" i="4"/>
  <c r="C32" i="4"/>
  <c r="B32" i="4"/>
  <c r="E31" i="4"/>
  <c r="C31" i="4"/>
  <c r="B31" i="4"/>
  <c r="E30" i="4"/>
  <c r="D30" i="4"/>
  <c r="C30" i="4"/>
  <c r="D31" i="4" s="1"/>
  <c r="B30" i="4"/>
  <c r="E29" i="4"/>
  <c r="D29" i="4"/>
  <c r="C29" i="4"/>
  <c r="B29" i="4"/>
  <c r="E28" i="4"/>
  <c r="D28" i="4"/>
  <c r="C28" i="4"/>
  <c r="B28" i="4"/>
  <c r="E27" i="4"/>
  <c r="C27" i="4"/>
  <c r="B27" i="4"/>
  <c r="H26" i="4"/>
  <c r="G26" i="4"/>
  <c r="F26" i="4"/>
  <c r="E26" i="4"/>
  <c r="C26" i="4"/>
  <c r="D27" i="4" s="1"/>
  <c r="B26" i="4"/>
  <c r="H25" i="4"/>
  <c r="G25" i="4"/>
  <c r="F25" i="4"/>
  <c r="E25" i="4"/>
  <c r="C25" i="4"/>
  <c r="D26" i="4" s="1"/>
  <c r="B25" i="4"/>
  <c r="H24" i="4"/>
  <c r="G24" i="4"/>
  <c r="F24" i="4"/>
  <c r="E24" i="4"/>
  <c r="D24" i="4"/>
  <c r="C24" i="4"/>
  <c r="D25" i="4" s="1"/>
  <c r="B24" i="4"/>
  <c r="H23" i="4"/>
  <c r="G23" i="4"/>
  <c r="F23" i="4"/>
  <c r="E23" i="4"/>
  <c r="D23" i="4"/>
  <c r="C23" i="4"/>
  <c r="B23" i="4"/>
  <c r="H22" i="4"/>
  <c r="G22" i="4"/>
  <c r="F22" i="4"/>
  <c r="E22" i="4"/>
  <c r="D22" i="4"/>
  <c r="C22" i="4"/>
  <c r="B22" i="4"/>
  <c r="H21" i="4"/>
  <c r="G21" i="4"/>
  <c r="F21" i="4"/>
  <c r="E21" i="4"/>
  <c r="D21" i="4"/>
  <c r="C21" i="4"/>
  <c r="B21" i="4"/>
  <c r="H20" i="4"/>
  <c r="G20" i="4"/>
  <c r="F20" i="4"/>
  <c r="E20" i="4"/>
  <c r="D20" i="4"/>
  <c r="C20" i="4"/>
  <c r="B20" i="4"/>
  <c r="H19" i="4"/>
  <c r="G19" i="4"/>
  <c r="F19" i="4"/>
  <c r="E19" i="4"/>
  <c r="D19" i="4"/>
  <c r="C19" i="4"/>
  <c r="B19" i="4"/>
  <c r="H18" i="4"/>
  <c r="G18" i="4"/>
  <c r="F18" i="4"/>
  <c r="E18" i="4"/>
  <c r="D18" i="4"/>
  <c r="C18" i="4"/>
  <c r="B18" i="4"/>
  <c r="H17" i="4"/>
  <c r="G17" i="4"/>
  <c r="F17" i="4"/>
  <c r="E17" i="4"/>
  <c r="D17" i="4"/>
  <c r="C17" i="4"/>
  <c r="B17" i="4"/>
  <c r="H16" i="4"/>
  <c r="G16" i="4"/>
  <c r="F16" i="4"/>
  <c r="E16" i="4"/>
  <c r="C16" i="4"/>
  <c r="B16" i="4"/>
  <c r="H15" i="4"/>
  <c r="G15" i="4"/>
  <c r="F15" i="4"/>
  <c r="E15" i="4"/>
  <c r="C15" i="4"/>
  <c r="D16" i="4" s="1"/>
  <c r="B15" i="4"/>
  <c r="H14" i="4"/>
  <c r="G14" i="4"/>
  <c r="F14" i="4"/>
  <c r="E14" i="4"/>
  <c r="C14" i="4"/>
  <c r="D15" i="4" s="1"/>
  <c r="B14" i="4"/>
  <c r="H13" i="4"/>
  <c r="G13" i="4"/>
  <c r="F13" i="4"/>
  <c r="E13" i="4"/>
  <c r="D13" i="4"/>
  <c r="C13" i="4"/>
  <c r="D14" i="4" s="1"/>
  <c r="B13" i="4"/>
  <c r="H12" i="4"/>
  <c r="G12" i="4"/>
  <c r="F12" i="4"/>
  <c r="E12" i="4"/>
  <c r="C12" i="4"/>
  <c r="B12" i="4"/>
  <c r="H7" i="4"/>
  <c r="F7" i="4"/>
  <c r="D7" i="4"/>
  <c r="B7" i="4"/>
</calcChain>
</file>

<file path=xl/sharedStrings.xml><?xml version="1.0" encoding="utf-8"?>
<sst xmlns="http://schemas.openxmlformats.org/spreadsheetml/2006/main" count="129" uniqueCount="107">
  <si>
    <t>Month</t>
  </si>
  <si>
    <t>Revenue</t>
  </si>
  <si>
    <t>Sep 2016</t>
  </si>
  <si>
    <t>Oct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</si>
  <si>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</si>
  <si>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</si>
  <si>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</si>
  <si>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</si>
  <si>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</si>
  <si>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</si>
  <si>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</si>
  <si>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</si>
  <si>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</si>
  <si>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</si>
  <si>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</si>
  <si>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</si>
  <si>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</si>
  <si>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</si>
  <si>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</si>
  <si>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</si>
  <si>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</si>
  <si>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</si>
  <si>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</si>
  <si>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</si>
  <si>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</si>
  <si>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</si>
  <si>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</si>
  <si>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Product Category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</si>
  <si>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</si>
  <si>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</si>
  <si>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</si>
  <si>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</si>
  <si>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</si>
  <si>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</si>
  <si>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</si>
  <si>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</si>
  <si>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</si>
  <si>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ferramentas_jardim</t>
  </si>
  <si>
    <t>brinquedos</t>
  </si>
  <si>
    <t>bebes</t>
  </si>
  <si>
    <t>perfumaria</t>
  </si>
  <si>
    <t>telefonia</t>
  </si>
  <si>
    <t>moveis_escritorio</t>
  </si>
  <si>
    <t>State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</si>
  <si>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</si>
  <si>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</si>
  <si>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</si>
  <si>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</si>
  <si>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</si>
  <si>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</si>
  <si>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</si>
  <si>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</si>
  <si>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</si>
  <si>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</si>
  <si>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PE</t>
  </si>
  <si>
    <t>CE</t>
  </si>
  <si>
    <t>PA</t>
  </si>
  <si>
    <t>MT</t>
  </si>
  <si>
    <t>MA</t>
  </si>
  <si>
    <t>PB</t>
  </si>
  <si>
    <t>MS</t>
  </si>
  <si>
    <t>PI</t>
  </si>
  <si>
    <t>RN</t>
  </si>
  <si>
    <t>AL</t>
  </si>
  <si>
    <t>SE</t>
  </si>
  <si>
    <t>TO</t>
  </si>
  <si>
    <t>RO</t>
  </si>
  <si>
    <t>AM</t>
  </si>
  <si>
    <t>AC</t>
  </si>
  <si>
    <t>AP</t>
  </si>
  <si>
    <t>RR</t>
  </si>
  <si>
    <t>🛒  E-COMMERCE PERFORMANCE DASHBOARD</t>
  </si>
  <si>
    <t>💰</t>
  </si>
  <si>
    <t>📦</t>
  </si>
  <si>
    <t>📈</t>
  </si>
  <si>
    <t>🏆</t>
  </si>
  <si>
    <t>TOTAL REVENUE</t>
  </si>
  <si>
    <t>TOTAL MONTHS</t>
  </si>
  <si>
    <t>PEAK REVENUE</t>
  </si>
  <si>
    <t>TOP CATEGORY</t>
  </si>
  <si>
    <t>FY 2016–2018</t>
  </si>
  <si>
    <t>📅  MONTHLY REVENUE TREND</t>
  </si>
  <si>
    <t>🏆  TOP 15 CATEGORIES BY REVENUE</t>
  </si>
  <si>
    <t>MoM Change</t>
  </si>
  <si>
    <t>Cumulative</t>
  </si>
  <si>
    <t>Category</t>
  </si>
  <si>
    <t>Share %</t>
  </si>
  <si>
    <t>Rank</t>
  </si>
  <si>
    <t>"—"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</si>
  <si>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</si>
  <si>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</si>
  <si>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</si>
  <si>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</si>
  <si>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</si>
  <si>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</si>
  <si>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</si>
  <si>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</si>
  <si>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</si>
  <si>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</si>
  <si>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</si>
  <si>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</si>
  <si>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</si>
  <si>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</si>
  <si>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</si>
  <si>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TOTAL</t>
  </si>
  <si>
    <t>🗺️  REVENUE BY STATE (TOP 10)</t>
  </si>
  <si>
    <t>Data Source: PostgreSQL ecommerce_analysis DB  |  Built with Python + openpyxl  |  © Portfolio Project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</si>
</sst>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9"/>
      <color rgb="FF2C3E50"/>
      <name val="Arial"/>
      <charset val="1"/>
    </font>
    <font>
      <b/>
      <sz val="20"/>
      <color rgb="FFFFFFFF"/>
      <name val="Arial"/>
      <charset val="1"/>
    </font>
    <font>
      <sz val="13"/>
      <color rgb="FFFFFFFF"/>
      <name val="Arial"/>
      <charset val="1"/>
    </font>
    <font>
      <b/>
      <sz val="8"/>
      <color rgb="FFDDDDDD"/>
      <name val="Arial"/>
      <charset val="1"/>
    </font>
    <font>
      <b/>
      <sz val="16"/>
      <color rgb="FFFFFFFF"/>
      <name val="Arial"/>
      <charset val="1"/>
    </font>
    <font>
      <i/>
      <sz val="7"/>
      <color rgb="FFBBBBBB"/>
      <name val="Arial"/>
      <charset val="1"/>
    </font>
    <font>
      <b/>
      <sz val="10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i/>
      <sz val="7"/>
      <color rgb="FF99999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4F6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1E8449"/>
        <bgColor rgb="FF117A65"/>
      </patternFill>
    </fill>
    <fill>
      <patternFill patternType="solid">
        <fgColor rgb="FFCA6F1E"/>
        <bgColor rgb="FF808000"/>
      </patternFill>
    </fill>
    <fill>
      <patternFill patternType="solid">
        <fgColor rgb="FF6C3483"/>
        <bgColor rgb="FF993366"/>
      </patternFill>
    </fill>
    <fill>
      <patternFill patternType="solid">
        <fgColor rgb="FF2C3E50"/>
        <bgColor rgb="FF1F3864"/>
      </patternFill>
    </fill>
    <fill>
      <patternFill patternType="solid">
        <fgColor rgb="FFD6E4F0"/>
        <bgColor rgb="FFDDDDDD"/>
      </patternFill>
    </fill>
    <fill>
      <patternFill patternType="solid">
        <fgColor rgb="FFD5F5E3"/>
        <bgColor rgb="FFD6E4F0"/>
      </patternFill>
    </fill>
    <fill>
      <patternFill patternType="solid">
        <fgColor rgb="FF117A65"/>
        <bgColor rgb="FF0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7" fillId="5" borderId="0" xfId="0" applyNumberFormat="1" applyFont="1" applyFill="1" applyBorder="1" applyAlignment="1">
      <alignment horizontal="center" vertical="center"/>
    </xf>
    <xf numFmtId="49" fontId="6" fillId="8" borderId="0" xfId="0" applyNumberFormat="1" applyFont="1" applyFill="1" applyBorder="1" applyAlignment="1">
      <alignment horizontal="center" vertical="center"/>
    </xf>
    <xf numFmtId="4" fontId="6" fillId="7" borderId="0" xfId="0" applyNumberFormat="1" applyFont="1" applyFill="1" applyBorder="1" applyAlignment="1">
      <alignment horizontal="center" vertical="center"/>
    </xf>
    <xf numFmtId="3" fontId="6" fillId="6" borderId="0" xfId="0" applyNumberFormat="1" applyFont="1" applyFill="1" applyBorder="1" applyAlignment="1">
      <alignment horizontal="center" vertical="center"/>
    </xf>
    <xf numFmtId="4" fontId="6" fillId="5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9" fillId="9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" fontId="2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" fontId="2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  <xf numFmtId="3" fontId="2" fillId="10" borderId="1" xfId="0" applyNumberFormat="1" applyFont="1" applyFill="1" applyBorder="1" applyAlignment="1">
      <alignment horizontal="center" vertical="center"/>
    </xf>
    <xf numFmtId="49" fontId="7" fillId="6" borderId="0" xfId="0" applyNumberFormat="1" applyFont="1" applyFill="1" applyBorder="1" applyAlignment="1">
      <alignment horizontal="center" vertical="center"/>
    </xf>
    <xf numFmtId="49" fontId="7" fillId="7" borderId="0" xfId="0" applyNumberFormat="1" applyFont="1" applyFill="1" applyBorder="1" applyAlignment="1">
      <alignment horizontal="center" vertical="center"/>
    </xf>
    <xf numFmtId="49" fontId="7" fillId="8" borderId="0" xfId="0" applyNumberFormat="1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indent="1"/>
    </xf>
    <xf numFmtId="0" fontId="8" fillId="6" borderId="0" xfId="0" applyFont="1" applyFill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BBBBB"/>
      <rgbColor rgb="FF878787"/>
      <rgbColor rgb="FF9999FF"/>
      <rgbColor rgb="FF6C3483"/>
      <rgbColor rgb="FFF9F9F9"/>
      <rgbColor rgb="FFD6E4F0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5F5E3"/>
      <rgbColor rgb="FFDDDDDD"/>
      <rgbColor rgb="FF99CCFF"/>
      <rgbColor rgb="FFFF99CC"/>
      <rgbColor rgb="FFCC99FF"/>
      <rgbColor rgb="FFD9D9D9"/>
      <rgbColor rgb="FF2E75B6"/>
      <rgbColor rgb="FF33CCCC"/>
      <rgbColor rgb="FF99CC00"/>
      <rgbColor rgb="FFFFCC00"/>
      <rgbColor rgb="FFFF9900"/>
      <rgbColor rgb="FFCA6F1E"/>
      <rgbColor rgb="FF666699"/>
      <rgbColor rgb="FF999999"/>
      <rgbColor rgb="FF1F3864"/>
      <rgbColor rgb="FF1E8449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48850932321156"/>
          <c:y val="0.12189813257065948"/>
          <c:w val="0.80461091925414308"/>
          <c:h val="0.82072117541498446"/>
        </c:manualLayout>
      </c:layout>
      <c:lineChart>
        <c:grouping val="standard"/>
        <c:varyColors val="0"/>
        <c:ser>
          <c:idx val="0"/>
          <c:order val="0"/>
          <c:tx>
            <c:strRef>
              <c:f>Raw_Monthly_Revenue!$B$1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Raw_Monthly_Revenue!$A$2:$A$26</c:f>
              <c:strCache>
                <c:ptCount val="25"/>
                <c:pt idx="0">
                  <c:v>Sep 2016</c:v>
                </c:pt>
                <c:pt idx="1">
                  <c:v>Oct 2016</c:v>
                </c:pt>
                <c:pt idx="2">
                  <c:v>Dec 2016</c:v>
                </c:pt>
                <c:pt idx="3">
                  <c:v>Jan 2017</c:v>
                </c:pt>
                <c:pt idx="4">
                  <c:v>Feb 2017</c:v>
                </c:pt>
                <c:pt idx="5">
                  <c:v>Mar 2017</c:v>
                </c:pt>
                <c:pt idx="6">
                  <c:v>Apr 2017</c:v>
                </c:pt>
                <c:pt idx="7">
                  <c:v>May 2017</c:v>
                </c:pt>
                <c:pt idx="8">
                  <c:v>Jun 2017</c:v>
                </c:pt>
                <c:pt idx="9">
                  <c:v>Jul 2017</c:v>
                </c:pt>
                <c:pt idx="10">
                  <c:v>Aug 2017</c:v>
                </c:pt>
                <c:pt idx="11">
                  <c:v>Sep 2017</c:v>
                </c:pt>
                <c:pt idx="12">
                  <c:v>Oct 2017</c:v>
                </c:pt>
                <c:pt idx="13">
                  <c:v>Nov 2017</c:v>
                </c:pt>
                <c:pt idx="14">
                  <c:v>Dec 2017</c:v>
                </c:pt>
                <c:pt idx="15">
                  <c:v>Jan 2018</c:v>
                </c:pt>
                <c:pt idx="16">
                  <c:v>Feb 2018</c:v>
                </c:pt>
                <c:pt idx="17">
                  <c:v>Mar 2018</c:v>
                </c:pt>
                <c:pt idx="18">
                  <c:v>Apr 2018</c:v>
                </c:pt>
                <c:pt idx="19">
                  <c:v>May 2018</c:v>
                </c:pt>
                <c:pt idx="20">
                  <c:v>Jun 2018</c:v>
                </c:pt>
                <c:pt idx="21">
                  <c:v>Jul 2018</c:v>
                </c:pt>
                <c:pt idx="22">
                  <c:v>Aug 2018</c:v>
                </c:pt>
                <c:pt idx="23">
                  <c:v>Sep 2018</c:v>
                </c:pt>
                <c:pt idx="24">
                  <c:v>Oct 2018</c:v>
                </c:pt>
              </c:strCache>
            </c:strRef>
          </c:cat>
          <c:val>
            <c:numRef>
              <c:f>Raw_Monthly_Revenue!$B$2:$B$26</c:f>
              <c:numCache>
                <c:formatCode>#,##0.00</c:formatCode>
                <c:ptCount val="25"/>
                <c:pt idx="0">
                  <c:v>252.24</c:v>
                </c:pt>
                <c:pt idx="1">
                  <c:v>59090.48</c:v>
                </c:pt>
                <c:pt idx="2">
                  <c:v>19.62</c:v>
                </c:pt>
                <c:pt idx="3">
                  <c:v>138488.04</c:v>
                </c:pt>
                <c:pt idx="4">
                  <c:v>291908.01</c:v>
                </c:pt>
                <c:pt idx="5">
                  <c:v>449863.6</c:v>
                </c:pt>
                <c:pt idx="6">
                  <c:v>417788.03</c:v>
                </c:pt>
                <c:pt idx="7">
                  <c:v>592918.81999999995</c:v>
                </c:pt>
                <c:pt idx="8">
                  <c:v>511276.38</c:v>
                </c:pt>
                <c:pt idx="9">
                  <c:v>592382.92000000004</c:v>
                </c:pt>
                <c:pt idx="10">
                  <c:v>674396.32</c:v>
                </c:pt>
                <c:pt idx="11">
                  <c:v>727762.45</c:v>
                </c:pt>
                <c:pt idx="12">
                  <c:v>779677.88</c:v>
                </c:pt>
                <c:pt idx="13">
                  <c:v>1194882.8</c:v>
                </c:pt>
                <c:pt idx="14">
                  <c:v>878401.48</c:v>
                </c:pt>
                <c:pt idx="15">
                  <c:v>1115004.18</c:v>
                </c:pt>
                <c:pt idx="16">
                  <c:v>992463.34</c:v>
                </c:pt>
                <c:pt idx="17">
                  <c:v>1159652.1200000001</c:v>
                </c:pt>
                <c:pt idx="18">
                  <c:v>1160785.48</c:v>
                </c:pt>
                <c:pt idx="19">
                  <c:v>1153982.1499999999</c:v>
                </c:pt>
                <c:pt idx="20">
                  <c:v>1023880.5</c:v>
                </c:pt>
                <c:pt idx="21">
                  <c:v>1066540.75</c:v>
                </c:pt>
                <c:pt idx="22">
                  <c:v>1022425.32</c:v>
                </c:pt>
                <c:pt idx="23">
                  <c:v>4439.54</c:v>
                </c:pt>
                <c:pt idx="24">
                  <c:v>589.66999999999996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C9-4A33-B905-37D7A31F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211055"/>
        <c:axId val="97606276"/>
      </c:lineChart>
      <c:catAx>
        <c:axId val="392110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06276"/>
        <c:crosses val="autoZero"/>
        <c:auto val="1"/>
        <c:lblAlgn val="ctr"/>
        <c:lblOffset val="100"/>
        <c:noMultiLvlLbl val="0"/>
      </c:catAx>
      <c:valAx>
        <c:axId val="976062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(BRL)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2110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Categories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Raw_Category_Sales!$B$1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Raw_Category_Sales!$A$2:$A$16</c:f>
              <c:strCache>
                <c:ptCount val="15"/>
                <c:pt idx="0">
                  <c:v>beleza_saude</c:v>
                </c:pt>
                <c:pt idx="1">
                  <c:v>relogios_presentes</c:v>
                </c:pt>
                <c:pt idx="2">
                  <c:v>cama_mesa_banho</c:v>
                </c:pt>
                <c:pt idx="3">
                  <c:v>esporte_lazer</c:v>
                </c:pt>
                <c:pt idx="4">
                  <c:v>informatica_acessorios</c:v>
                </c:pt>
                <c:pt idx="5">
                  <c:v>moveis_decoracao</c:v>
                </c:pt>
                <c:pt idx="6">
                  <c:v>cool_stuff</c:v>
                </c:pt>
                <c:pt idx="7">
                  <c:v>utilidades_domesticas</c:v>
                </c:pt>
                <c:pt idx="8">
                  <c:v>automotivo</c:v>
                </c:pt>
                <c:pt idx="9">
                  <c:v>ferramentas_jardim</c:v>
                </c:pt>
                <c:pt idx="10">
                  <c:v>brinquedos</c:v>
                </c:pt>
                <c:pt idx="11">
                  <c:v>bebes</c:v>
                </c:pt>
                <c:pt idx="12">
                  <c:v>perfumaria</c:v>
                </c:pt>
                <c:pt idx="13">
                  <c:v>telefonia</c:v>
                </c:pt>
                <c:pt idx="14">
                  <c:v>moveis_escritorio</c:v>
                </c:pt>
              </c:strCache>
            </c:strRef>
          </c:cat>
          <c:val>
            <c:numRef>
              <c:f>Raw_Category_Sales!$B$2:$B$16</c:f>
              <c:numCache>
                <c:formatCode>#,##0.00</c:formatCode>
                <c:ptCount val="15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  <c:pt idx="10">
                  <c:v>483946.6</c:v>
                </c:pt>
                <c:pt idx="11">
                  <c:v>411764.89</c:v>
                </c:pt>
                <c:pt idx="12">
                  <c:v>399124.87</c:v>
                </c:pt>
                <c:pt idx="13">
                  <c:v>323667.53000000003</c:v>
                </c:pt>
                <c:pt idx="14">
                  <c:v>273960.7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0-4ED4-8AD1-BA0B4BBE7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3449"/>
        <c:axId val="54735981"/>
      </c:barChart>
      <c:catAx>
        <c:axId val="1226344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(BRL)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735981"/>
        <c:crosses val="autoZero"/>
        <c:auto val="1"/>
        <c:lblAlgn val="ctr"/>
        <c:lblOffset val="100"/>
        <c:noMultiLvlLbl val="0"/>
      </c:catAx>
      <c:valAx>
        <c:axId val="547359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2634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Raw_State_Revenue!$B$1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17A6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Raw_State_Revenue!$A$2:$A$28</c:f>
              <c:strCache>
                <c:ptCount val="27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  <c:pt idx="10">
                  <c:v>PE</c:v>
                </c:pt>
                <c:pt idx="11">
                  <c:v>CE</c:v>
                </c:pt>
                <c:pt idx="12">
                  <c:v>PA</c:v>
                </c:pt>
                <c:pt idx="13">
                  <c:v>MT</c:v>
                </c:pt>
                <c:pt idx="14">
                  <c:v>MA</c:v>
                </c:pt>
                <c:pt idx="15">
                  <c:v>PB</c:v>
                </c:pt>
                <c:pt idx="16">
                  <c:v>MS</c:v>
                </c:pt>
                <c:pt idx="17">
                  <c:v>PI</c:v>
                </c:pt>
                <c:pt idx="18">
                  <c:v>RN</c:v>
                </c:pt>
                <c:pt idx="19">
                  <c:v>AL</c:v>
                </c:pt>
                <c:pt idx="20">
                  <c:v>SE</c:v>
                </c:pt>
                <c:pt idx="21">
                  <c:v>TO</c:v>
                </c:pt>
                <c:pt idx="22">
                  <c:v>RO</c:v>
                </c:pt>
                <c:pt idx="23">
                  <c:v>AM</c:v>
                </c:pt>
                <c:pt idx="24">
                  <c:v>AC</c:v>
                </c:pt>
                <c:pt idx="25">
                  <c:v>AP</c:v>
                </c:pt>
                <c:pt idx="26">
                  <c:v>RR</c:v>
                </c:pt>
              </c:strCache>
            </c:strRef>
          </c:cat>
          <c:val>
            <c:numRef>
              <c:f>Raw_State_Revenue!$B$2:$B$28</c:f>
              <c:numCache>
                <c:formatCode>#,##0.00</c:formatCode>
                <c:ptCount val="27"/>
                <c:pt idx="0">
                  <c:v>5998226.96</c:v>
                </c:pt>
                <c:pt idx="1">
                  <c:v>2144379.69</c:v>
                </c:pt>
                <c:pt idx="2">
                  <c:v>1872257.26</c:v>
                </c:pt>
                <c:pt idx="3">
                  <c:v>890898.54</c:v>
                </c:pt>
                <c:pt idx="4">
                  <c:v>811156.38</c:v>
                </c:pt>
                <c:pt idx="5">
                  <c:v>623086.43000000005</c:v>
                </c:pt>
                <c:pt idx="6">
                  <c:v>616645.81999999995</c:v>
                </c:pt>
                <c:pt idx="7">
                  <c:v>355141.08</c:v>
                </c:pt>
                <c:pt idx="8">
                  <c:v>350092.31</c:v>
                </c:pt>
                <c:pt idx="9">
                  <c:v>325967.55</c:v>
                </c:pt>
                <c:pt idx="10">
                  <c:v>324850.44</c:v>
                </c:pt>
                <c:pt idx="11">
                  <c:v>279464.03000000003</c:v>
                </c:pt>
                <c:pt idx="12">
                  <c:v>218295.85</c:v>
                </c:pt>
                <c:pt idx="13">
                  <c:v>187029.29</c:v>
                </c:pt>
                <c:pt idx="14">
                  <c:v>152523.01999999999</c:v>
                </c:pt>
                <c:pt idx="15">
                  <c:v>141545.72</c:v>
                </c:pt>
                <c:pt idx="16">
                  <c:v>137534.84</c:v>
                </c:pt>
                <c:pt idx="17">
                  <c:v>108523.97</c:v>
                </c:pt>
                <c:pt idx="18">
                  <c:v>102718.13</c:v>
                </c:pt>
                <c:pt idx="19">
                  <c:v>96962.06</c:v>
                </c:pt>
                <c:pt idx="20">
                  <c:v>75246.25</c:v>
                </c:pt>
                <c:pt idx="21">
                  <c:v>61485.33</c:v>
                </c:pt>
                <c:pt idx="22">
                  <c:v>60866.2</c:v>
                </c:pt>
                <c:pt idx="23">
                  <c:v>27966.93</c:v>
                </c:pt>
                <c:pt idx="24">
                  <c:v>19680.62</c:v>
                </c:pt>
                <c:pt idx="25">
                  <c:v>16262.8</c:v>
                </c:pt>
                <c:pt idx="26">
                  <c:v>10064.620000000001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3-4BC1-85A1-D3A8373A8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0856"/>
        <c:axId val="9936122"/>
      </c:barChart>
      <c:catAx>
        <c:axId val="8660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36122"/>
        <c:crosses val="autoZero"/>
        <c:auto val="1"/>
        <c:lblAlgn val="ctr"/>
        <c:lblOffset val="100"/>
        <c:noMultiLvlLbl val="0"/>
      </c:catAx>
      <c:valAx>
        <c:axId val="99361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(BRL)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0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1</xdr:row>
      <xdr:rowOff>83820</xdr:rowOff>
    </xdr:from>
    <xdr:to>
      <xdr:col>16</xdr:col>
      <xdr:colOff>48360</xdr:colOff>
      <xdr:row>23</xdr:row>
      <xdr:rowOff>4860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581400</xdr:colOff>
      <xdr:row>26</xdr:row>
      <xdr:rowOff>134280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15</xdr:col>
      <xdr:colOff>581760</xdr:colOff>
      <xdr:row>22</xdr:row>
      <xdr:rowOff>119160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Normal="100" workbookViewId="0">
      <pane ySplit="1" topLeftCell="A2" activePane="bottomLeft" state="frozen"/>
      <selection pane="bottomLeft" activeCell="S13" sqref="S13"/>
    </sheetView>
  </sheetViews>
  <sheetFormatPr defaultColWidth="8.6640625" defaultRowHeight="14.4" x14ac:dyDescent="0.3"/>
  <cols>
    <col min="1" max="1" width="14" customWidth="1"/>
    <col min="2" max="2" width="18" customWidth="1"/>
  </cols>
  <sheetData>
    <row r="1" spans="1:2" ht="21.75" customHeight="1" x14ac:dyDescent="0.3">
      <c r="A1" s="15" t="s">
        <v>0</v>
      </c>
      <c r="B1" s="15" t="s">
        <v>1</v>
      </c>
    </row>
    <row r="2" spans="1:2" ht="15.75" customHeight="1" x14ac:dyDescent="0.3">
      <c r="A2" s="16" t="s">
        <v>2</v>
      </c>
      <c r="B2" s="17">
        <v>252.24</v>
      </c>
    </row>
    <row r="3" spans="1:2" ht="15.75" customHeight="1" x14ac:dyDescent="0.3">
      <c r="A3" s="18" t="s">
        <v>3</v>
      </c>
      <c r="B3" s="19">
        <v>59090.48</v>
      </c>
    </row>
    <row r="4" spans="1:2" ht="15.75" customHeight="1" x14ac:dyDescent="0.3">
      <c r="A4" s="16" t="s">
        <v>4</v>
      </c>
      <c r="B4" s="17">
        <v>19.62</v>
      </c>
    </row>
    <row r="5" spans="1:2" ht="15.75" customHeight="1" x14ac:dyDescent="0.3">
      <c r="A5" s="18" t="s">
        <v>5</v>
      </c>
      <c r="B5" s="19">
        <v>138488.04</v>
      </c>
    </row>
    <row r="6" spans="1:2" ht="15.75" customHeight="1" x14ac:dyDescent="0.3">
      <c r="A6" s="16" t="s">
        <v>6</v>
      </c>
      <c r="B6" s="17">
        <v>291908.01</v>
      </c>
    </row>
    <row r="7" spans="1:2" ht="15.75" customHeight="1" x14ac:dyDescent="0.3">
      <c r="A7" s="18" t="s">
        <v>7</v>
      </c>
      <c r="B7" s="19">
        <v>449863.6</v>
      </c>
    </row>
    <row r="8" spans="1:2" ht="15.75" customHeight="1" x14ac:dyDescent="0.3">
      <c r="A8" s="16" t="s">
        <v>8</v>
      </c>
      <c r="B8" s="17">
        <v>417788.03</v>
      </c>
    </row>
    <row r="9" spans="1:2" ht="15.75" customHeight="1" x14ac:dyDescent="0.3">
      <c r="A9" s="18" t="s">
        <v>9</v>
      </c>
      <c r="B9" s="19">
        <v>592918.81999999995</v>
      </c>
    </row>
    <row r="10" spans="1:2" ht="15.75" customHeight="1" x14ac:dyDescent="0.3">
      <c r="A10" s="16" t="s">
        <v>10</v>
      </c>
      <c r="B10" s="17">
        <v>511276.38</v>
      </c>
    </row>
    <row r="11" spans="1:2" ht="15.75" customHeight="1" x14ac:dyDescent="0.3">
      <c r="A11" s="18" t="s">
        <v>11</v>
      </c>
      <c r="B11" s="19">
        <v>592382.92000000004</v>
      </c>
    </row>
    <row r="12" spans="1:2" ht="15.75" customHeight="1" x14ac:dyDescent="0.3">
      <c r="A12" s="16" t="s">
        <v>12</v>
      </c>
      <c r="B12" s="17">
        <v>674396.32</v>
      </c>
    </row>
    <row r="13" spans="1:2" ht="15.75" customHeight="1" x14ac:dyDescent="0.3">
      <c r="A13" s="18" t="s">
        <v>13</v>
      </c>
      <c r="B13" s="19">
        <v>727762.45</v>
      </c>
    </row>
    <row r="14" spans="1:2" ht="15.75" customHeight="1" x14ac:dyDescent="0.3">
      <c r="A14" s="16" t="s">
        <v>14</v>
      </c>
      <c r="B14" s="17">
        <v>779677.88</v>
      </c>
    </row>
    <row r="15" spans="1:2" ht="15.75" customHeight="1" x14ac:dyDescent="0.3">
      <c r="A15" s="18" t="s">
        <v>15</v>
      </c>
      <c r="B15" s="19">
        <v>1194882.8</v>
      </c>
    </row>
    <row r="16" spans="1:2" ht="15.75" customHeight="1" x14ac:dyDescent="0.3">
      <c r="A16" s="16" t="s">
        <v>16</v>
      </c>
      <c r="B16" s="17">
        <v>878401.48</v>
      </c>
    </row>
    <row r="17" spans="1:2" ht="15.75" customHeight="1" x14ac:dyDescent="0.3">
      <c r="A17" s="18" t="s">
        <v>17</v>
      </c>
      <c r="B17" s="19">
        <v>1115004.18</v>
      </c>
    </row>
    <row r="18" spans="1:2" ht="15.75" customHeight="1" x14ac:dyDescent="0.3">
      <c r="A18" s="16" t="s">
        <v>18</v>
      </c>
      <c r="B18" s="17">
        <v>992463.34</v>
      </c>
    </row>
    <row r="19" spans="1:2" ht="15.75" customHeight="1" x14ac:dyDescent="0.3">
      <c r="A19" s="18" t="s">
        <v>19</v>
      </c>
      <c r="B19" s="19">
        <v>1159652.1200000001</v>
      </c>
    </row>
    <row r="20" spans="1:2" ht="15.75" customHeight="1" x14ac:dyDescent="0.3">
      <c r="A20" s="16" t="s">
        <v>20</v>
      </c>
      <c r="B20" s="17">
        <v>1160785.48</v>
      </c>
    </row>
    <row r="21" spans="1:2" ht="15.75" customHeight="1" x14ac:dyDescent="0.3">
      <c r="A21" s="18" t="s">
        <v>21</v>
      </c>
      <c r="B21" s="19">
        <v>1153982.1499999999</v>
      </c>
    </row>
    <row r="22" spans="1:2" ht="15.75" customHeight="1" x14ac:dyDescent="0.3">
      <c r="A22" s="16" t="s">
        <v>22</v>
      </c>
      <c r="B22" s="17">
        <v>1023880.5</v>
      </c>
    </row>
    <row r="23" spans="1:2" ht="15.75" customHeight="1" x14ac:dyDescent="0.3">
      <c r="A23" s="18" t="s">
        <v>23</v>
      </c>
      <c r="B23" s="19">
        <v>1066540.75</v>
      </c>
    </row>
    <row r="24" spans="1:2" ht="15.75" customHeight="1" x14ac:dyDescent="0.3">
      <c r="A24" s="16" t="s">
        <v>24</v>
      </c>
      <c r="B24" s="17">
        <v>1022425.32</v>
      </c>
    </row>
    <row r="25" spans="1:2" ht="15.75" customHeight="1" x14ac:dyDescent="0.3">
      <c r="A25" s="18" t="s">
        <v>25</v>
      </c>
      <c r="B25" s="19">
        <v>4439.54</v>
      </c>
    </row>
    <row r="26" spans="1:2" ht="15.75" customHeight="1" x14ac:dyDescent="0.3">
      <c r="A26" s="16" t="s">
        <v>26</v>
      </c>
      <c r="B26" s="17">
        <v>589.66999999999996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topLeftCell="D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8" customWidth="1"/>
  </cols>
  <sheetData>
    <row r="1" spans="1:2" ht="21.75" customHeight="1" x14ac:dyDescent="0.3">
      <c r="A1" s="15" t="s">
        <v>27</v>
      </c>
      <c r="B1" s="15" t="s">
        <v>1</v>
      </c>
    </row>
    <row r="2" spans="1:2" ht="15.75" customHeight="1" x14ac:dyDescent="0.3">
      <c r="A2" s="16" t="s">
        <v>28</v>
      </c>
      <c r="B2" s="17">
        <v>1258681.3400000001</v>
      </c>
    </row>
    <row r="3" spans="1:2" ht="15.75" customHeight="1" x14ac:dyDescent="0.3">
      <c r="A3" s="18" t="s">
        <v>29</v>
      </c>
      <c r="B3" s="19">
        <v>1205005.68</v>
      </c>
    </row>
    <row r="4" spans="1:2" ht="15.75" customHeight="1" x14ac:dyDescent="0.3">
      <c r="A4" s="16" t="s">
        <v>30</v>
      </c>
      <c r="B4" s="17">
        <v>1036988.68</v>
      </c>
    </row>
    <row r="5" spans="1:2" ht="15.75" customHeight="1" x14ac:dyDescent="0.3">
      <c r="A5" s="18" t="s">
        <v>31</v>
      </c>
      <c r="B5" s="19">
        <v>988048.97</v>
      </c>
    </row>
    <row r="6" spans="1:2" ht="15.75" customHeight="1" x14ac:dyDescent="0.3">
      <c r="A6" s="16" t="s">
        <v>32</v>
      </c>
      <c r="B6" s="17">
        <v>911954.32</v>
      </c>
    </row>
    <row r="7" spans="1:2" ht="15.75" customHeight="1" x14ac:dyDescent="0.3">
      <c r="A7" s="18" t="s">
        <v>33</v>
      </c>
      <c r="B7" s="19">
        <v>729762.49</v>
      </c>
    </row>
    <row r="8" spans="1:2" ht="15.75" customHeight="1" x14ac:dyDescent="0.3">
      <c r="A8" s="16" t="s">
        <v>34</v>
      </c>
      <c r="B8" s="17">
        <v>635290.85</v>
      </c>
    </row>
    <row r="9" spans="1:2" ht="15.75" customHeight="1" x14ac:dyDescent="0.3">
      <c r="A9" s="18" t="s">
        <v>35</v>
      </c>
      <c r="B9" s="19">
        <v>632248.66</v>
      </c>
    </row>
    <row r="10" spans="1:2" ht="15.75" customHeight="1" x14ac:dyDescent="0.3">
      <c r="A10" s="16" t="s">
        <v>36</v>
      </c>
      <c r="B10" s="17">
        <v>592720.11</v>
      </c>
    </row>
    <row r="11" spans="1:2" ht="15.75" customHeight="1" x14ac:dyDescent="0.3">
      <c r="A11" s="18" t="s">
        <v>37</v>
      </c>
      <c r="B11" s="19">
        <v>485256.46</v>
      </c>
    </row>
    <row r="12" spans="1:2" ht="15.75" customHeight="1" x14ac:dyDescent="0.3">
      <c r="A12" s="16" t="s">
        <v>38</v>
      </c>
      <c r="B12" s="17">
        <v>483946.6</v>
      </c>
    </row>
    <row r="13" spans="1:2" ht="15.75" customHeight="1" x14ac:dyDescent="0.3">
      <c r="A13" s="18" t="s">
        <v>39</v>
      </c>
      <c r="B13" s="19">
        <v>411764.89</v>
      </c>
    </row>
    <row r="14" spans="1:2" ht="15.75" customHeight="1" x14ac:dyDescent="0.3">
      <c r="A14" s="16" t="s">
        <v>40</v>
      </c>
      <c r="B14" s="17">
        <v>399124.87</v>
      </c>
    </row>
    <row r="15" spans="1:2" ht="15.75" customHeight="1" x14ac:dyDescent="0.3">
      <c r="A15" s="18" t="s">
        <v>41</v>
      </c>
      <c r="B15" s="19">
        <v>323667.53000000003</v>
      </c>
    </row>
    <row r="16" spans="1:2" ht="15.75" customHeight="1" x14ac:dyDescent="0.3">
      <c r="A16" s="16" t="s">
        <v>42</v>
      </c>
      <c r="B16" s="17">
        <v>273960.7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8" customWidth="1"/>
  </cols>
  <sheetData>
    <row r="1" spans="1:2" ht="21.75" customHeight="1" x14ac:dyDescent="0.3">
      <c r="A1" s="15" t="s">
        <v>43</v>
      </c>
      <c r="B1" s="15" t="s">
        <v>1</v>
      </c>
    </row>
    <row r="2" spans="1:2" ht="15.75" customHeight="1" x14ac:dyDescent="0.3">
      <c r="A2" s="16" t="s">
        <v>44</v>
      </c>
      <c r="B2" s="17">
        <v>5998226.96</v>
      </c>
    </row>
    <row r="3" spans="1:2" ht="15.75" customHeight="1" x14ac:dyDescent="0.3">
      <c r="A3" s="18" t="s">
        <v>45</v>
      </c>
      <c r="B3" s="19">
        <v>2144379.69</v>
      </c>
    </row>
    <row r="4" spans="1:2" ht="15.75" customHeight="1" x14ac:dyDescent="0.3">
      <c r="A4" s="16" t="s">
        <v>46</v>
      </c>
      <c r="B4" s="17">
        <v>1872257.26</v>
      </c>
    </row>
    <row r="5" spans="1:2" ht="15.75" customHeight="1" x14ac:dyDescent="0.3">
      <c r="A5" s="18" t="s">
        <v>47</v>
      </c>
      <c r="B5" s="19">
        <v>890898.54</v>
      </c>
    </row>
    <row r="6" spans="1:2" ht="15.75" customHeight="1" x14ac:dyDescent="0.3">
      <c r="A6" s="16" t="s">
        <v>48</v>
      </c>
      <c r="B6" s="17">
        <v>811156.38</v>
      </c>
    </row>
    <row r="7" spans="1:2" ht="15.75" customHeight="1" x14ac:dyDescent="0.3">
      <c r="A7" s="18" t="s">
        <v>49</v>
      </c>
      <c r="B7" s="19">
        <v>623086.43000000005</v>
      </c>
    </row>
    <row r="8" spans="1:2" ht="15.75" customHeight="1" x14ac:dyDescent="0.3">
      <c r="A8" s="16" t="s">
        <v>50</v>
      </c>
      <c r="B8" s="17">
        <v>616645.81999999995</v>
      </c>
    </row>
    <row r="9" spans="1:2" ht="15.75" customHeight="1" x14ac:dyDescent="0.3">
      <c r="A9" s="18" t="s">
        <v>51</v>
      </c>
      <c r="B9" s="19">
        <v>355141.08</v>
      </c>
    </row>
    <row r="10" spans="1:2" ht="15.75" customHeight="1" x14ac:dyDescent="0.3">
      <c r="A10" s="16" t="s">
        <v>52</v>
      </c>
      <c r="B10" s="17">
        <v>350092.31</v>
      </c>
    </row>
    <row r="11" spans="1:2" ht="15.75" customHeight="1" x14ac:dyDescent="0.3">
      <c r="A11" s="18" t="s">
        <v>53</v>
      </c>
      <c r="B11" s="19">
        <v>325967.55</v>
      </c>
    </row>
    <row r="12" spans="1:2" ht="15.75" customHeight="1" x14ac:dyDescent="0.3">
      <c r="A12" s="16" t="s">
        <v>54</v>
      </c>
      <c r="B12" s="17">
        <v>324850.44</v>
      </c>
    </row>
    <row r="13" spans="1:2" ht="15.75" customHeight="1" x14ac:dyDescent="0.3">
      <c r="A13" s="18" t="s">
        <v>55</v>
      </c>
      <c r="B13" s="19">
        <v>279464.03000000003</v>
      </c>
    </row>
    <row r="14" spans="1:2" ht="15.75" customHeight="1" x14ac:dyDescent="0.3">
      <c r="A14" s="16" t="s">
        <v>56</v>
      </c>
      <c r="B14" s="17">
        <v>218295.85</v>
      </c>
    </row>
    <row r="15" spans="1:2" ht="15.75" customHeight="1" x14ac:dyDescent="0.3">
      <c r="A15" s="18" t="s">
        <v>57</v>
      </c>
      <c r="B15" s="19">
        <v>187029.29</v>
      </c>
    </row>
    <row r="16" spans="1:2" ht="15.75" customHeight="1" x14ac:dyDescent="0.3">
      <c r="A16" s="16" t="s">
        <v>58</v>
      </c>
      <c r="B16" s="17">
        <v>152523.01999999999</v>
      </c>
    </row>
    <row r="17" spans="1:2" ht="15.75" customHeight="1" x14ac:dyDescent="0.3">
      <c r="A17" s="18" t="s">
        <v>59</v>
      </c>
      <c r="B17" s="19">
        <v>141545.72</v>
      </c>
    </row>
    <row r="18" spans="1:2" ht="15.75" customHeight="1" x14ac:dyDescent="0.3">
      <c r="A18" s="16" t="s">
        <v>60</v>
      </c>
      <c r="B18" s="17">
        <v>137534.84</v>
      </c>
    </row>
    <row r="19" spans="1:2" ht="15.75" customHeight="1" x14ac:dyDescent="0.3">
      <c r="A19" s="18" t="s">
        <v>61</v>
      </c>
      <c r="B19" s="19">
        <v>108523.97</v>
      </c>
    </row>
    <row r="20" spans="1:2" ht="15.75" customHeight="1" x14ac:dyDescent="0.3">
      <c r="A20" s="16" t="s">
        <v>62</v>
      </c>
      <c r="B20" s="17">
        <v>102718.13</v>
      </c>
    </row>
    <row r="21" spans="1:2" ht="15.75" customHeight="1" x14ac:dyDescent="0.3">
      <c r="A21" s="18" t="s">
        <v>63</v>
      </c>
      <c r="B21" s="19">
        <v>96962.06</v>
      </c>
    </row>
    <row r="22" spans="1:2" ht="15.75" customHeight="1" x14ac:dyDescent="0.3">
      <c r="A22" s="16" t="s">
        <v>64</v>
      </c>
      <c r="B22" s="17">
        <v>75246.25</v>
      </c>
    </row>
    <row r="23" spans="1:2" ht="15.75" customHeight="1" x14ac:dyDescent="0.3">
      <c r="A23" s="18" t="s">
        <v>65</v>
      </c>
      <c r="B23" s="19">
        <v>61485.33</v>
      </c>
    </row>
    <row r="24" spans="1:2" ht="15.75" customHeight="1" x14ac:dyDescent="0.3">
      <c r="A24" s="16" t="s">
        <v>66</v>
      </c>
      <c r="B24" s="17">
        <v>60866.2</v>
      </c>
    </row>
    <row r="25" spans="1:2" ht="15.75" customHeight="1" x14ac:dyDescent="0.3">
      <c r="A25" s="18" t="s">
        <v>67</v>
      </c>
      <c r="B25" s="19">
        <v>27966.93</v>
      </c>
    </row>
    <row r="26" spans="1:2" ht="15.75" customHeight="1" x14ac:dyDescent="0.3">
      <c r="A26" s="16" t="s">
        <v>68</v>
      </c>
      <c r="B26" s="17">
        <v>19680.62</v>
      </c>
    </row>
    <row r="27" spans="1:2" ht="15.75" customHeight="1" x14ac:dyDescent="0.3">
      <c r="A27" s="18" t="s">
        <v>69</v>
      </c>
      <c r="B27" s="19">
        <v>16262.8</v>
      </c>
    </row>
    <row r="28" spans="1:2" ht="15.75" customHeight="1" x14ac:dyDescent="0.3">
      <c r="A28" s="16" t="s">
        <v>70</v>
      </c>
      <c r="B28" s="17">
        <v>10064.620000000001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showGridLines="0" tabSelected="1" topLeftCell="A10" zoomScaleNormal="100" workbookViewId="0">
      <selection activeCell="B7" sqref="B7:C7"/>
    </sheetView>
  </sheetViews>
  <sheetFormatPr defaultColWidth="8.6640625" defaultRowHeight="14.4" x14ac:dyDescent="0.3"/>
  <cols>
    <col min="1" max="1" width="1.5546875" customWidth="1"/>
    <col min="2" max="10" width="13" customWidth="1"/>
    <col min="11" max="11" width="1.5546875" customWidth="1"/>
  </cols>
  <sheetData>
    <row r="1" spans="1:11" ht="7.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45" customHeight="1" x14ac:dyDescent="0.3">
      <c r="A2" s="20"/>
      <c r="B2" s="14" t="s">
        <v>71</v>
      </c>
      <c r="C2" s="14"/>
      <c r="D2" s="14"/>
      <c r="E2" s="14"/>
      <c r="F2" s="14"/>
      <c r="G2" s="14"/>
      <c r="H2" s="14"/>
      <c r="I2" s="14"/>
      <c r="J2" s="14"/>
      <c r="K2" s="20"/>
    </row>
    <row r="3" spans="1:11" ht="7.5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9.75" customHeight="1" x14ac:dyDescent="0.3"/>
    <row r="5" spans="1:11" ht="12" customHeight="1" x14ac:dyDescent="0.3">
      <c r="B5" s="13" t="s">
        <v>72</v>
      </c>
      <c r="C5" s="13"/>
      <c r="D5" s="12" t="s">
        <v>73</v>
      </c>
      <c r="E5" s="12"/>
      <c r="F5" s="11" t="s">
        <v>74</v>
      </c>
      <c r="G5" s="11"/>
      <c r="H5" s="10" t="s">
        <v>75</v>
      </c>
      <c r="I5" s="10"/>
      <c r="J5" s="10"/>
    </row>
    <row r="6" spans="1:11" ht="30" customHeight="1" x14ac:dyDescent="0.3">
      <c r="B6" s="9" t="s">
        <v>76</v>
      </c>
      <c r="C6" s="9"/>
      <c r="D6" s="8" t="s">
        <v>77</v>
      </c>
      <c r="E6" s="8"/>
      <c r="F6" s="7" t="s">
        <v>78</v>
      </c>
      <c r="G6" s="7"/>
      <c r="H6" s="6" t="s">
        <v>79</v>
      </c>
      <c r="I6" s="6"/>
      <c r="J6" s="6"/>
    </row>
    <row r="7" spans="1:11" ht="27.75" customHeight="1" x14ac:dyDescent="0.3">
      <c r="B7" s="5">
        <f>SUM(Raw_Monthly_Revenue!B2:B26)</f>
        <v>16008872.119999997</v>
      </c>
      <c r="C7" s="5"/>
      <c r="D7" s="4">
        <f>COUNTA(Raw_Monthly_Revenue!A2:A26)</f>
        <v>25</v>
      </c>
      <c r="E7" s="4"/>
      <c r="F7" s="3">
        <f>MAX(Raw_Monthly_Revenue!B2:B26)</f>
        <v>1194882.8</v>
      </c>
      <c r="G7" s="3"/>
      <c r="H7" s="2" t="str">
        <f>Raw_Category_Sales!A2</f>
        <v>beleza_saude</v>
      </c>
      <c r="I7" s="2"/>
      <c r="J7" s="2"/>
    </row>
    <row r="8" spans="1:11" ht="13.5" customHeight="1" x14ac:dyDescent="0.3">
      <c r="B8" s="1" t="s">
        <v>80</v>
      </c>
      <c r="C8" s="1"/>
      <c r="D8" s="34" t="s">
        <v>80</v>
      </c>
      <c r="E8" s="34"/>
      <c r="F8" s="35" t="s">
        <v>80</v>
      </c>
      <c r="G8" s="35"/>
      <c r="H8" s="36" t="s">
        <v>80</v>
      </c>
      <c r="I8" s="36"/>
      <c r="J8" s="36"/>
    </row>
    <row r="9" spans="1:11" ht="9.75" customHeight="1" x14ac:dyDescent="0.3"/>
    <row r="10" spans="1:11" ht="19.5" customHeight="1" x14ac:dyDescent="0.3">
      <c r="B10" s="37" t="s">
        <v>81</v>
      </c>
      <c r="C10" s="37"/>
      <c r="D10" s="37"/>
      <c r="E10" s="37"/>
      <c r="F10" s="38" t="s">
        <v>82</v>
      </c>
      <c r="G10" s="38"/>
      <c r="H10" s="38"/>
      <c r="I10" s="38"/>
      <c r="J10" s="38"/>
    </row>
    <row r="11" spans="1:11" ht="15.75" customHeight="1" x14ac:dyDescent="0.3">
      <c r="B11" s="21" t="s">
        <v>0</v>
      </c>
      <c r="C11" s="21" t="s">
        <v>1</v>
      </c>
      <c r="D11" s="21" t="s">
        <v>83</v>
      </c>
      <c r="E11" s="21" t="s">
        <v>84</v>
      </c>
      <c r="F11" s="21" t="s">
        <v>85</v>
      </c>
      <c r="G11" s="21" t="s">
        <v>1</v>
      </c>
      <c r="H11" s="21" t="s">
        <v>86</v>
      </c>
      <c r="I11" s="21" t="s">
        <v>87</v>
      </c>
    </row>
    <row r="12" spans="1:11" ht="15" customHeight="1" x14ac:dyDescent="0.3">
      <c r="B12" s="22" t="str">
        <f>Raw_Monthly_Revenue!A2</f>
        <v>Sep 2016</v>
      </c>
      <c r="C12" s="23">
        <f>Raw_Monthly_Revenue!B2</f>
        <v>252.24</v>
      </c>
      <c r="D12" s="24" t="s">
        <v>88</v>
      </c>
      <c r="E12" s="23">
        <f>SUM(Raw_Monthly_Revenue!B$2:B2)</f>
        <v>252.24</v>
      </c>
      <c r="F12" s="25" t="str">
        <f>Raw_Category_Sales!A2</f>
        <v>beleza_saude</v>
      </c>
      <c r="G12" s="26">
        <f>Raw_Category_Sales!B2</f>
        <v>1258681.3400000001</v>
      </c>
      <c r="H12" s="27">
        <f>Raw_Category_Sales!B2/SUM(Raw_Category_Sales!B$2:B$16)</f>
        <v>0.12139564938528281</v>
      </c>
      <c r="I12" s="28" t="s">
        <v>89</v>
      </c>
    </row>
    <row r="13" spans="1:11" ht="15" customHeight="1" x14ac:dyDescent="0.3">
      <c r="B13" s="18" t="str">
        <f>Raw_Monthly_Revenue!A3</f>
        <v>Oct 2016</v>
      </c>
      <c r="C13" s="19">
        <f>Raw_Monthly_Revenue!B3</f>
        <v>59090.48</v>
      </c>
      <c r="D13" s="29">
        <f t="shared" ref="D13:D36" si="0">IF(C12=0,"—",(C13-C12)/C12)</f>
        <v>233.26292419917539</v>
      </c>
      <c r="E13" s="19">
        <f>SUM(Raw_Monthly_Revenue!B$2:B3)</f>
        <v>59342.720000000001</v>
      </c>
      <c r="F13" s="18" t="str">
        <f>Raw_Category_Sales!A3</f>
        <v>relogios_presentes</v>
      </c>
      <c r="G13" s="19">
        <f>Raw_Category_Sales!B3</f>
        <v>1205005.68</v>
      </c>
      <c r="H13" s="29">
        <f>Raw_Category_Sales!B3/SUM(Raw_Category_Sales!B$2:B$16)</f>
        <v>0.11621880962861839</v>
      </c>
      <c r="I13" s="30" t="s">
        <v>90</v>
      </c>
    </row>
    <row r="14" spans="1:11" ht="15" customHeight="1" x14ac:dyDescent="0.3">
      <c r="B14" s="22" t="str">
        <f>Raw_Monthly_Revenue!A4</f>
        <v>Dec 2016</v>
      </c>
      <c r="C14" s="23">
        <f>Raw_Monthly_Revenue!B4</f>
        <v>19.62</v>
      </c>
      <c r="D14" s="24">
        <f t="shared" si="0"/>
        <v>-0.9996679668196975</v>
      </c>
      <c r="E14" s="23">
        <f>SUM(Raw_Monthly_Revenue!B$2:B4)</f>
        <v>59362.340000000004</v>
      </c>
      <c r="F14" s="25" t="str">
        <f>Raw_Category_Sales!A4</f>
        <v>cama_mesa_banho</v>
      </c>
      <c r="G14" s="26">
        <f>Raw_Category_Sales!B4</f>
        <v>1036988.68</v>
      </c>
      <c r="H14" s="27">
        <f>Raw_Category_Sales!B4/SUM(Raw_Category_Sales!B$2:B$16)</f>
        <v>0.10001412606449479</v>
      </c>
      <c r="I14" s="28" t="s">
        <v>91</v>
      </c>
    </row>
    <row r="15" spans="1:11" ht="15" customHeight="1" x14ac:dyDescent="0.3">
      <c r="B15" s="18" t="str">
        <f>Raw_Monthly_Revenue!A5</f>
        <v>Jan 2017</v>
      </c>
      <c r="C15" s="19">
        <f>Raw_Monthly_Revenue!B5</f>
        <v>138488.04</v>
      </c>
      <c r="D15" s="29">
        <f t="shared" si="0"/>
        <v>7057.5137614678906</v>
      </c>
      <c r="E15" s="19">
        <f>SUM(Raw_Monthly_Revenue!B$2:B5)</f>
        <v>197850.38</v>
      </c>
      <c r="F15" s="18" t="str">
        <f>Raw_Category_Sales!A5</f>
        <v>esporte_lazer</v>
      </c>
      <c r="G15" s="19">
        <f>Raw_Category_Sales!B5</f>
        <v>988048.97</v>
      </c>
      <c r="H15" s="29">
        <f>Raw_Category_Sales!B5/SUM(Raw_Category_Sales!B$2:B$16)</f>
        <v>9.529405301075633E-2</v>
      </c>
      <c r="I15" s="30" t="s">
        <v>92</v>
      </c>
    </row>
    <row r="16" spans="1:11" ht="15" customHeight="1" x14ac:dyDescent="0.3">
      <c r="B16" s="22" t="str">
        <f>Raw_Monthly_Revenue!A6</f>
        <v>Feb 2017</v>
      </c>
      <c r="C16" s="23">
        <f>Raw_Monthly_Revenue!B6</f>
        <v>291908.01</v>
      </c>
      <c r="D16" s="24">
        <f t="shared" si="0"/>
        <v>1.1078210797120098</v>
      </c>
      <c r="E16" s="23">
        <f>SUM(Raw_Monthly_Revenue!B$2:B6)</f>
        <v>489758.39</v>
      </c>
      <c r="F16" s="25" t="str">
        <f>Raw_Category_Sales!A6</f>
        <v>informatica_acessorios</v>
      </c>
      <c r="G16" s="26">
        <f>Raw_Category_Sales!B6</f>
        <v>911954.32</v>
      </c>
      <c r="H16" s="27">
        <f>Raw_Category_Sales!B6/SUM(Raw_Category_Sales!B$2:B$16)</f>
        <v>8.7954975868724639E-2</v>
      </c>
      <c r="I16" s="28" t="s">
        <v>93</v>
      </c>
    </row>
    <row r="17" spans="2:9" ht="15" customHeight="1" x14ac:dyDescent="0.3">
      <c r="B17" s="18" t="str">
        <f>Raw_Monthly_Revenue!A7</f>
        <v>Mar 2017</v>
      </c>
      <c r="C17" s="19">
        <f>Raw_Monthly_Revenue!B7</f>
        <v>449863.6</v>
      </c>
      <c r="D17" s="29">
        <f t="shared" si="0"/>
        <v>0.54111427089650588</v>
      </c>
      <c r="E17" s="19">
        <f>SUM(Raw_Monthly_Revenue!B$2:B7)</f>
        <v>939621.99</v>
      </c>
      <c r="F17" s="18" t="str">
        <f>Raw_Category_Sales!A7</f>
        <v>moveis_decoracao</v>
      </c>
      <c r="G17" s="19">
        <f>Raw_Category_Sales!B7</f>
        <v>729762.49</v>
      </c>
      <c r="H17" s="29">
        <f>Raw_Category_Sales!B7/SUM(Raw_Category_Sales!B$2:B$16)</f>
        <v>7.038317686553687E-2</v>
      </c>
      <c r="I17" s="30" t="s">
        <v>94</v>
      </c>
    </row>
    <row r="18" spans="2:9" ht="15" customHeight="1" x14ac:dyDescent="0.3">
      <c r="B18" s="22" t="str">
        <f>Raw_Monthly_Revenue!A8</f>
        <v>Apr 2017</v>
      </c>
      <c r="C18" s="23">
        <f>Raw_Monthly_Revenue!B8</f>
        <v>417788.03</v>
      </c>
      <c r="D18" s="24">
        <f t="shared" si="0"/>
        <v>-7.1300656465648593E-2</v>
      </c>
      <c r="E18" s="23">
        <f>SUM(Raw_Monthly_Revenue!B$2:B8)</f>
        <v>1357410.02</v>
      </c>
      <c r="F18" s="25" t="str">
        <f>Raw_Category_Sales!A8</f>
        <v>cool_stuff</v>
      </c>
      <c r="G18" s="26">
        <f>Raw_Category_Sales!B8</f>
        <v>635290.85</v>
      </c>
      <c r="H18" s="27">
        <f>Raw_Category_Sales!B8/SUM(Raw_Category_Sales!B$2:B$16)</f>
        <v>6.127169986033025E-2</v>
      </c>
      <c r="I18" s="28" t="s">
        <v>95</v>
      </c>
    </row>
    <row r="19" spans="2:9" ht="15" customHeight="1" x14ac:dyDescent="0.3">
      <c r="B19" s="18" t="str">
        <f>Raw_Monthly_Revenue!A9</f>
        <v>May 2017</v>
      </c>
      <c r="C19" s="19">
        <f>Raw_Monthly_Revenue!B9</f>
        <v>592918.81999999995</v>
      </c>
      <c r="D19" s="29">
        <f t="shared" si="0"/>
        <v>0.41918575311982947</v>
      </c>
      <c r="E19" s="19">
        <f>SUM(Raw_Monthly_Revenue!B$2:B9)</f>
        <v>1950328.8399999999</v>
      </c>
      <c r="F19" s="18" t="str">
        <f>Raw_Category_Sales!A9</f>
        <v>utilidades_domesticas</v>
      </c>
      <c r="G19" s="19">
        <f>Raw_Category_Sales!B9</f>
        <v>632248.66</v>
      </c>
      <c r="H19" s="29">
        <f>Raw_Category_Sales!B9/SUM(Raw_Category_Sales!B$2:B$16)</f>
        <v>6.0978290703566709E-2</v>
      </c>
      <c r="I19" s="30" t="s">
        <v>96</v>
      </c>
    </row>
    <row r="20" spans="2:9" ht="15" customHeight="1" x14ac:dyDescent="0.3">
      <c r="B20" s="22" t="str">
        <f>Raw_Monthly_Revenue!A10</f>
        <v>Jun 2017</v>
      </c>
      <c r="C20" s="23">
        <f>Raw_Monthly_Revenue!B10</f>
        <v>511276.38</v>
      </c>
      <c r="D20" s="24">
        <f t="shared" si="0"/>
        <v>-0.13769581474914214</v>
      </c>
      <c r="E20" s="23">
        <f>SUM(Raw_Monthly_Revenue!B$2:B10)</f>
        <v>2461605.2199999997</v>
      </c>
      <c r="F20" s="25" t="str">
        <f>Raw_Category_Sales!A10</f>
        <v>automotivo</v>
      </c>
      <c r="G20" s="26">
        <f>Raw_Category_Sales!B10</f>
        <v>592720.11</v>
      </c>
      <c r="H20" s="27">
        <f>Raw_Category_Sales!B10/SUM(Raw_Category_Sales!B$2:B$16)</f>
        <v>5.7165892883711343E-2</v>
      </c>
      <c r="I20" s="28" t="s">
        <v>97</v>
      </c>
    </row>
    <row r="21" spans="2:9" ht="15" customHeight="1" x14ac:dyDescent="0.3">
      <c r="B21" s="18" t="str">
        <f>Raw_Monthly_Revenue!A11</f>
        <v>Jul 2017</v>
      </c>
      <c r="C21" s="19">
        <f>Raw_Monthly_Revenue!B11</f>
        <v>592382.92000000004</v>
      </c>
      <c r="D21" s="29">
        <f t="shared" si="0"/>
        <v>0.1586354135898084</v>
      </c>
      <c r="E21" s="19">
        <f>SUM(Raw_Monthly_Revenue!B$2:B11)</f>
        <v>3053988.1399999997</v>
      </c>
      <c r="F21" s="18" t="str">
        <f>Raw_Category_Sales!A11</f>
        <v>ferramentas_jardim</v>
      </c>
      <c r="G21" s="19">
        <f>Raw_Category_Sales!B11</f>
        <v>485256.46</v>
      </c>
      <c r="H21" s="29">
        <f>Raw_Category_Sales!B11/SUM(Raw_Category_Sales!B$2:B$16)</f>
        <v>4.6801379513661111E-2</v>
      </c>
      <c r="I21" s="30" t="s">
        <v>98</v>
      </c>
    </row>
    <row r="22" spans="2:9" ht="15" customHeight="1" x14ac:dyDescent="0.3">
      <c r="B22" s="22" t="str">
        <f>Raw_Monthly_Revenue!A12</f>
        <v>Aug 2017</v>
      </c>
      <c r="C22" s="23">
        <f>Raw_Monthly_Revenue!B12</f>
        <v>674396.32</v>
      </c>
      <c r="D22" s="24">
        <f t="shared" si="0"/>
        <v>0.13844659802142828</v>
      </c>
      <c r="E22" s="23">
        <f>SUM(Raw_Monthly_Revenue!B$2:B12)</f>
        <v>3728384.4599999995</v>
      </c>
      <c r="F22" s="25" t="str">
        <f>Raw_Category_Sales!A12</f>
        <v>brinquedos</v>
      </c>
      <c r="G22" s="26">
        <f>Raw_Category_Sales!B12</f>
        <v>483946.6</v>
      </c>
      <c r="H22" s="27">
        <f>Raw_Category_Sales!B12/SUM(Raw_Category_Sales!B$2:B$16)</f>
        <v>4.6675047851904836E-2</v>
      </c>
      <c r="I22" s="28" t="s">
        <v>99</v>
      </c>
    </row>
    <row r="23" spans="2:9" ht="15" customHeight="1" x14ac:dyDescent="0.3">
      <c r="B23" s="18" t="str">
        <f>Raw_Monthly_Revenue!A13</f>
        <v>Sep 2017</v>
      </c>
      <c r="C23" s="19">
        <f>Raw_Monthly_Revenue!B13</f>
        <v>727762.45</v>
      </c>
      <c r="D23" s="29">
        <f t="shared" si="0"/>
        <v>7.913170404014068E-2</v>
      </c>
      <c r="E23" s="19">
        <f>SUM(Raw_Monthly_Revenue!B$2:B13)</f>
        <v>4456146.9099999992</v>
      </c>
      <c r="F23" s="18" t="str">
        <f>Raw_Category_Sales!A13</f>
        <v>bebes</v>
      </c>
      <c r="G23" s="19">
        <f>Raw_Category_Sales!B13</f>
        <v>411764.89</v>
      </c>
      <c r="H23" s="29">
        <f>Raw_Category_Sales!B13/SUM(Raw_Category_Sales!B$2:B$16)</f>
        <v>3.9713360822215368E-2</v>
      </c>
      <c r="I23" s="30" t="s">
        <v>100</v>
      </c>
    </row>
    <row r="24" spans="2:9" ht="15" customHeight="1" x14ac:dyDescent="0.3">
      <c r="B24" s="22" t="str">
        <f>Raw_Monthly_Revenue!A14</f>
        <v>Oct 2017</v>
      </c>
      <c r="C24" s="23">
        <f>Raw_Monthly_Revenue!B14</f>
        <v>779677.88</v>
      </c>
      <c r="D24" s="24">
        <f t="shared" si="0"/>
        <v>7.1335681031633402E-2</v>
      </c>
      <c r="E24" s="23">
        <f>SUM(Raw_Monthly_Revenue!B$2:B14)</f>
        <v>5235824.7899999991</v>
      </c>
      <c r="F24" s="25" t="str">
        <f>Raw_Category_Sales!A14</f>
        <v>perfumaria</v>
      </c>
      <c r="G24" s="26">
        <f>Raw_Category_Sales!B14</f>
        <v>399124.87</v>
      </c>
      <c r="H24" s="27">
        <f>Raw_Category_Sales!B14/SUM(Raw_Category_Sales!B$2:B$16)</f>
        <v>3.8494272727890431E-2</v>
      </c>
      <c r="I24" s="28" t="s">
        <v>101</v>
      </c>
    </row>
    <row r="25" spans="2:9" ht="15" customHeight="1" x14ac:dyDescent="0.3">
      <c r="B25" s="18" t="str">
        <f>Raw_Monthly_Revenue!A15</f>
        <v>Nov 2017</v>
      </c>
      <c r="C25" s="19">
        <f>Raw_Monthly_Revenue!B15</f>
        <v>1194882.8</v>
      </c>
      <c r="D25" s="29">
        <f t="shared" si="0"/>
        <v>0.53253392285542334</v>
      </c>
      <c r="E25" s="19">
        <f>SUM(Raw_Monthly_Revenue!B$2:B15)</f>
        <v>6430707.5899999989</v>
      </c>
      <c r="F25" s="18" t="str">
        <f>Raw_Category_Sales!A15</f>
        <v>telefonia</v>
      </c>
      <c r="G25" s="19">
        <f>Raw_Category_Sales!B15</f>
        <v>323667.53000000003</v>
      </c>
      <c r="H25" s="29">
        <f>Raw_Category_Sales!B15/SUM(Raw_Category_Sales!B$2:B$16)</f>
        <v>3.1216662026053797E-2</v>
      </c>
      <c r="I25" s="30" t="s">
        <v>102</v>
      </c>
    </row>
    <row r="26" spans="2:9" ht="15" customHeight="1" x14ac:dyDescent="0.3">
      <c r="B26" s="22" t="str">
        <f>Raw_Monthly_Revenue!A16</f>
        <v>Dec 2017</v>
      </c>
      <c r="C26" s="23">
        <f>Raw_Monthly_Revenue!B16</f>
        <v>878401.48</v>
      </c>
      <c r="D26" s="24">
        <f t="shared" si="0"/>
        <v>-0.26486390129642845</v>
      </c>
      <c r="E26" s="23">
        <f>SUM(Raw_Monthly_Revenue!B$2:B16)</f>
        <v>7309109.0699999984</v>
      </c>
      <c r="F26" s="25" t="str">
        <f>Raw_Category_Sales!A16</f>
        <v>moveis_escritorio</v>
      </c>
      <c r="G26" s="26">
        <f>Raw_Category_Sales!B16</f>
        <v>273960.7</v>
      </c>
      <c r="H26" s="27">
        <f>Raw_Category_Sales!B16/SUM(Raw_Category_Sales!B$2:B$16)</f>
        <v>2.6422602787252451E-2</v>
      </c>
      <c r="I26" s="28" t="s">
        <v>103</v>
      </c>
    </row>
    <row r="27" spans="2:9" ht="15" customHeight="1" x14ac:dyDescent="0.3">
      <c r="B27" s="18" t="str">
        <f>Raw_Monthly_Revenue!A17</f>
        <v>Jan 2018</v>
      </c>
      <c r="C27" s="19">
        <f>Raw_Monthly_Revenue!B17</f>
        <v>1115004.18</v>
      </c>
      <c r="D27" s="29">
        <f t="shared" si="0"/>
        <v>0.26935598970074592</v>
      </c>
      <c r="E27" s="19">
        <f>SUM(Raw_Monthly_Revenue!B$2:B17)</f>
        <v>8424113.2499999981</v>
      </c>
    </row>
    <row r="28" spans="2:9" ht="15" customHeight="1" x14ac:dyDescent="0.3">
      <c r="B28" s="22" t="str">
        <f>Raw_Monthly_Revenue!A18</f>
        <v>Feb 2018</v>
      </c>
      <c r="C28" s="23">
        <f>Raw_Monthly_Revenue!B18</f>
        <v>992463.34</v>
      </c>
      <c r="D28" s="24">
        <f t="shared" si="0"/>
        <v>-0.10990168664659174</v>
      </c>
      <c r="E28" s="23">
        <f>SUM(Raw_Monthly_Revenue!B$2:B18)</f>
        <v>9416576.589999998</v>
      </c>
    </row>
    <row r="29" spans="2:9" ht="15" customHeight="1" x14ac:dyDescent="0.3">
      <c r="B29" s="18" t="str">
        <f>Raw_Monthly_Revenue!A19</f>
        <v>Mar 2018</v>
      </c>
      <c r="C29" s="19">
        <f>Raw_Monthly_Revenue!B19</f>
        <v>1159652.1200000001</v>
      </c>
      <c r="D29" s="29">
        <f t="shared" si="0"/>
        <v>0.16845839363698831</v>
      </c>
      <c r="E29" s="19">
        <f>SUM(Raw_Monthly_Revenue!B$2:B19)</f>
        <v>10576228.709999997</v>
      </c>
    </row>
    <row r="30" spans="2:9" ht="15" customHeight="1" x14ac:dyDescent="0.3">
      <c r="B30" s="22" t="str">
        <f>Raw_Monthly_Revenue!A20</f>
        <v>Apr 2018</v>
      </c>
      <c r="C30" s="23">
        <f>Raw_Monthly_Revenue!B20</f>
        <v>1160785.48</v>
      </c>
      <c r="D30" s="24">
        <f t="shared" si="0"/>
        <v>9.7732757992963389E-4</v>
      </c>
      <c r="E30" s="23">
        <f>SUM(Raw_Monthly_Revenue!B$2:B20)</f>
        <v>11737014.189999998</v>
      </c>
    </row>
    <row r="31" spans="2:9" ht="15" customHeight="1" x14ac:dyDescent="0.3">
      <c r="B31" s="18" t="str">
        <f>Raw_Monthly_Revenue!A21</f>
        <v>May 2018</v>
      </c>
      <c r="C31" s="19">
        <f>Raw_Monthly_Revenue!B21</f>
        <v>1153982.1499999999</v>
      </c>
      <c r="D31" s="29">
        <f t="shared" si="0"/>
        <v>-5.8609709694163944E-3</v>
      </c>
      <c r="E31" s="19">
        <f>SUM(Raw_Monthly_Revenue!B$2:B21)</f>
        <v>12890996.339999998</v>
      </c>
    </row>
    <row r="32" spans="2:9" ht="15" customHeight="1" x14ac:dyDescent="0.3">
      <c r="B32" s="22" t="str">
        <f>Raw_Monthly_Revenue!A22</f>
        <v>Jun 2018</v>
      </c>
      <c r="C32" s="23">
        <f>Raw_Monthly_Revenue!B22</f>
        <v>1023880.5</v>
      </c>
      <c r="D32" s="24">
        <f t="shared" si="0"/>
        <v>-0.1127414752472557</v>
      </c>
      <c r="E32" s="23">
        <f>SUM(Raw_Monthly_Revenue!B$2:B22)</f>
        <v>13914876.839999998</v>
      </c>
    </row>
    <row r="33" spans="2:5" ht="15" customHeight="1" x14ac:dyDescent="0.3">
      <c r="B33" s="18" t="str">
        <f>Raw_Monthly_Revenue!A23</f>
        <v>Jul 2018</v>
      </c>
      <c r="C33" s="19">
        <f>Raw_Monthly_Revenue!B23</f>
        <v>1066540.75</v>
      </c>
      <c r="D33" s="29">
        <f t="shared" si="0"/>
        <v>4.1665262694230432E-2</v>
      </c>
      <c r="E33" s="19">
        <f>SUM(Raw_Monthly_Revenue!B$2:B23)</f>
        <v>14981417.589999998</v>
      </c>
    </row>
    <row r="34" spans="2:5" ht="15" customHeight="1" x14ac:dyDescent="0.3">
      <c r="B34" s="22" t="str">
        <f>Raw_Monthly_Revenue!A24</f>
        <v>Aug 2018</v>
      </c>
      <c r="C34" s="23">
        <f>Raw_Monthly_Revenue!B24</f>
        <v>1022425.32</v>
      </c>
      <c r="D34" s="24">
        <f t="shared" si="0"/>
        <v>-4.1363098409507609E-2</v>
      </c>
      <c r="E34" s="23">
        <f>SUM(Raw_Monthly_Revenue!B$2:B24)</f>
        <v>16003842.909999998</v>
      </c>
    </row>
    <row r="35" spans="2:5" ht="15" customHeight="1" x14ac:dyDescent="0.3">
      <c r="B35" s="18" t="str">
        <f>Raw_Monthly_Revenue!A25</f>
        <v>Sep 2018</v>
      </c>
      <c r="C35" s="19">
        <f>Raw_Monthly_Revenue!B25</f>
        <v>4439.54</v>
      </c>
      <c r="D35" s="29">
        <f t="shared" si="0"/>
        <v>-0.99565783445190892</v>
      </c>
      <c r="E35" s="19">
        <f>SUM(Raw_Monthly_Revenue!B$2:B25)</f>
        <v>16008282.449999997</v>
      </c>
    </row>
    <row r="36" spans="2:5" ht="15" customHeight="1" x14ac:dyDescent="0.3">
      <c r="B36" s="22" t="str">
        <f>Raw_Monthly_Revenue!A26</f>
        <v>Oct 2018</v>
      </c>
      <c r="C36" s="23">
        <f>Raw_Monthly_Revenue!B26</f>
        <v>589.66999999999996</v>
      </c>
      <c r="D36" s="24">
        <f t="shared" si="0"/>
        <v>-0.86717768057050959</v>
      </c>
      <c r="E36" s="23">
        <f>SUM(Raw_Monthly_Revenue!B$2:B26)</f>
        <v>16008872.119999997</v>
      </c>
    </row>
    <row r="37" spans="2:5" ht="15.75" customHeight="1" x14ac:dyDescent="0.3">
      <c r="B37" s="31" t="s">
        <v>104</v>
      </c>
      <c r="C37" s="32">
        <f>SUM(Raw_Monthly_Revenue!B2:B26)</f>
        <v>16008872.119999997</v>
      </c>
      <c r="D37" s="31"/>
      <c r="E37" s="32">
        <f>SUM(Raw_Monthly_Revenue!B2:B26)</f>
        <v>16008872.119999997</v>
      </c>
    </row>
    <row r="39" spans="2:5" ht="19.5" customHeight="1" x14ac:dyDescent="0.3">
      <c r="B39" s="39" t="s">
        <v>105</v>
      </c>
      <c r="C39" s="39"/>
      <c r="D39" s="39"/>
      <c r="E39" s="39"/>
    </row>
    <row r="40" spans="2:5" ht="15.75" customHeight="1" x14ac:dyDescent="0.3">
      <c r="B40" s="21" t="s">
        <v>43</v>
      </c>
      <c r="C40" s="21" t="s">
        <v>1</v>
      </c>
      <c r="D40" s="21" t="s">
        <v>86</v>
      </c>
      <c r="E40" s="21" t="s">
        <v>87</v>
      </c>
    </row>
    <row r="41" spans="2:5" ht="15" customHeight="1" x14ac:dyDescent="0.3">
      <c r="B41" s="22" t="str">
        <f>Raw_State_Revenue!A2</f>
        <v>SP</v>
      </c>
      <c r="C41" s="23">
        <f>Raw_State_Revenue!B2</f>
        <v>5998226.96</v>
      </c>
      <c r="D41" s="24">
        <f>Raw_State_Revenue!B2/SUM(Raw_State_Revenue!B$2:B$28)</f>
        <v>0.37468142134175536</v>
      </c>
      <c r="E41" s="33" t="s">
        <v>89</v>
      </c>
    </row>
    <row r="42" spans="2:5" ht="15" customHeight="1" x14ac:dyDescent="0.3">
      <c r="B42" s="18" t="str">
        <f>Raw_State_Revenue!A3</f>
        <v>RJ</v>
      </c>
      <c r="C42" s="19">
        <f>Raw_State_Revenue!B3</f>
        <v>2144379.69</v>
      </c>
      <c r="D42" s="29">
        <f>Raw_State_Revenue!B3/SUM(Raw_State_Revenue!B$2:B$28)</f>
        <v>0.13394945464777691</v>
      </c>
      <c r="E42" s="30" t="s">
        <v>90</v>
      </c>
    </row>
    <row r="43" spans="2:5" ht="15" customHeight="1" x14ac:dyDescent="0.3">
      <c r="B43" s="22" t="str">
        <f>Raw_State_Revenue!A4</f>
        <v>MG</v>
      </c>
      <c r="C43" s="23">
        <f>Raw_State_Revenue!B4</f>
        <v>1872257.26</v>
      </c>
      <c r="D43" s="24">
        <f>Raw_State_Revenue!B4/SUM(Raw_State_Revenue!B$2:B$28)</f>
        <v>0.11695122841670873</v>
      </c>
      <c r="E43" s="33" t="s">
        <v>91</v>
      </c>
    </row>
    <row r="44" spans="2:5" ht="15" customHeight="1" x14ac:dyDescent="0.3">
      <c r="B44" s="18" t="str">
        <f>Raw_State_Revenue!A5</f>
        <v>RS</v>
      </c>
      <c r="C44" s="19">
        <f>Raw_State_Revenue!B5</f>
        <v>890898.54</v>
      </c>
      <c r="D44" s="29">
        <f>Raw_State_Revenue!B5/SUM(Raw_State_Revenue!B$2:B$28)</f>
        <v>5.5650300241139039E-2</v>
      </c>
      <c r="E44" s="30" t="s">
        <v>92</v>
      </c>
    </row>
    <row r="45" spans="2:5" ht="15" customHeight="1" x14ac:dyDescent="0.3">
      <c r="B45" s="22" t="str">
        <f>Raw_State_Revenue!A6</f>
        <v>PR</v>
      </c>
      <c r="C45" s="23">
        <f>Raw_State_Revenue!B6</f>
        <v>811156.38</v>
      </c>
      <c r="D45" s="24">
        <f>Raw_State_Revenue!B6/SUM(Raw_State_Revenue!B$2:B$28)</f>
        <v>5.0669177311162134E-2</v>
      </c>
      <c r="E45" s="33" t="s">
        <v>93</v>
      </c>
    </row>
    <row r="46" spans="2:5" ht="15" customHeight="1" x14ac:dyDescent="0.3">
      <c r="B46" s="18" t="str">
        <f>Raw_State_Revenue!A7</f>
        <v>SC</v>
      </c>
      <c r="C46" s="19">
        <f>Raw_State_Revenue!B7</f>
        <v>623086.43000000005</v>
      </c>
      <c r="D46" s="29">
        <f>Raw_State_Revenue!B7/SUM(Raw_State_Revenue!B$2:B$28)</f>
        <v>3.8921319711310187E-2</v>
      </c>
      <c r="E46" s="30" t="s">
        <v>94</v>
      </c>
    </row>
    <row r="47" spans="2:5" ht="15" customHeight="1" x14ac:dyDescent="0.3">
      <c r="B47" s="22" t="str">
        <f>Raw_State_Revenue!A8</f>
        <v>BA</v>
      </c>
      <c r="C47" s="23">
        <f>Raw_State_Revenue!B8</f>
        <v>616645.81999999995</v>
      </c>
      <c r="D47" s="24">
        <f>Raw_State_Revenue!B8/SUM(Raw_State_Revenue!B$2:B$28)</f>
        <v>3.8519004673016277E-2</v>
      </c>
      <c r="E47" s="33" t="s">
        <v>95</v>
      </c>
    </row>
    <row r="48" spans="2:5" ht="15" customHeight="1" x14ac:dyDescent="0.3">
      <c r="B48" s="18" t="str">
        <f>Raw_State_Revenue!A9</f>
        <v>DF</v>
      </c>
      <c r="C48" s="19">
        <f>Raw_State_Revenue!B9</f>
        <v>355141.08</v>
      </c>
      <c r="D48" s="29">
        <f>Raw_State_Revenue!B9/SUM(Raw_State_Revenue!B$2:B$28)</f>
        <v>2.2184016296583425E-2</v>
      </c>
      <c r="E48" s="30" t="s">
        <v>96</v>
      </c>
    </row>
    <row r="49" spans="2:10" ht="15" customHeight="1" x14ac:dyDescent="0.3">
      <c r="B49" s="22" t="str">
        <f>Raw_State_Revenue!A10</f>
        <v>GO</v>
      </c>
      <c r="C49" s="23">
        <f>Raw_State_Revenue!B10</f>
        <v>350092.31</v>
      </c>
      <c r="D49" s="24">
        <f>Raw_State_Revenue!B10/SUM(Raw_State_Revenue!B$2:B$28)</f>
        <v>2.1868643048414831E-2</v>
      </c>
      <c r="E49" s="33" t="s">
        <v>97</v>
      </c>
    </row>
    <row r="50" spans="2:10" ht="15" customHeight="1" x14ac:dyDescent="0.3">
      <c r="B50" s="18" t="str">
        <f>Raw_State_Revenue!A11</f>
        <v>ES</v>
      </c>
      <c r="C50" s="19">
        <f>Raw_State_Revenue!B11</f>
        <v>325967.55</v>
      </c>
      <c r="D50" s="29">
        <f>Raw_State_Revenue!B11/SUM(Raw_State_Revenue!B$2:B$28)</f>
        <v>2.0361681170078583E-2</v>
      </c>
      <c r="E50" s="30" t="s">
        <v>98</v>
      </c>
    </row>
    <row r="52" spans="2:10" ht="13.5" customHeight="1" x14ac:dyDescent="0.3">
      <c r="B52" s="40" t="s">
        <v>106</v>
      </c>
      <c r="C52" s="40"/>
      <c r="D52" s="40"/>
      <c r="E52" s="40"/>
      <c r="F52" s="40"/>
      <c r="G52" s="40"/>
      <c r="H52" s="40"/>
      <c r="I52" s="40"/>
      <c r="J52" s="40"/>
    </row>
  </sheetData>
  <mergeCells count="21">
    <mergeCell ref="B39:E39"/>
    <mergeCell ref="B52:J52"/>
    <mergeCell ref="B8:C8"/>
    <mergeCell ref="D8:E8"/>
    <mergeCell ref="F8:G8"/>
    <mergeCell ref="H8:J8"/>
    <mergeCell ref="B10:E10"/>
    <mergeCell ref="F10:J10"/>
    <mergeCell ref="B6:C6"/>
    <mergeCell ref="D6:E6"/>
    <mergeCell ref="F6:G6"/>
    <mergeCell ref="H6:J6"/>
    <mergeCell ref="B7:C7"/>
    <mergeCell ref="D7:E7"/>
    <mergeCell ref="F7:G7"/>
    <mergeCell ref="H7:J7"/>
    <mergeCell ref="B2:J2"/>
    <mergeCell ref="B5:C5"/>
    <mergeCell ref="D5:E5"/>
    <mergeCell ref="F5:G5"/>
    <mergeCell ref="H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Raw_Monthly_Revenue</vt:lpstr>
      <vt:lpstr>Raw_Category_Sales</vt:lpstr>
      <vt:lpstr>Raw_State_Revenue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DIP V</cp:lastModifiedBy>
  <cp:revision>1</cp:revision>
  <dcterms:created xsi:type="dcterms:W3CDTF">2026-03-09T01:54:54Z</dcterms:created>
  <dcterms:modified xsi:type="dcterms:W3CDTF">2026-03-09T04:15:32Z</dcterms:modified>
  <dc:language>en-US</dc:language>
</cp:coreProperties>
</file>